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andeyji/Downloads/"/>
    </mc:Choice>
  </mc:AlternateContent>
  <xr:revisionPtr revIDLastSave="0" documentId="13_ncr:1_{514FA562-79CE-1846-8E80-01164C62531A}" xr6:coauthVersionLast="47" xr6:coauthVersionMax="47" xr10:uidLastSave="{00000000-0000-0000-0000-000000000000}"/>
  <bookViews>
    <workbookView xWindow="0" yWindow="680" windowWidth="34200" windowHeight="19920" tabRatio="500" xr2:uid="{00000000-000D-0000-FFFF-FFFF00000000}"/>
  </bookViews>
  <sheets>
    <sheet name="WAAM Calculato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7" i="1" s="1"/>
  <c r="C23" i="1"/>
  <c r="C50" i="1" s="1"/>
  <c r="C17" i="1"/>
  <c r="C18" i="1" s="1"/>
  <c r="C52" i="1" l="1"/>
  <c r="C43" i="1"/>
  <c r="C38" i="1"/>
  <c r="C53" i="1" s="1"/>
  <c r="C39" i="1"/>
  <c r="C24" i="1"/>
  <c r="C49" i="1" s="1"/>
  <c r="C25" i="1" l="1"/>
  <c r="C45" i="1"/>
  <c r="C54" i="1" s="1"/>
  <c r="C44" i="1"/>
  <c r="C51" i="1" l="1"/>
  <c r="C30" i="1"/>
  <c r="C31" i="1" s="1"/>
  <c r="C32" i="1" s="1"/>
</calcChain>
</file>

<file path=xl/sharedStrings.xml><?xml version="1.0" encoding="utf-8"?>
<sst xmlns="http://schemas.openxmlformats.org/spreadsheetml/2006/main" count="123" uniqueCount="85">
  <si>
    <t>WAAM (Wire Arc Additive Manufacturing) — Single Bead Process Calculator</t>
  </si>
  <si>
    <t>Enter values in YELLOW cells only. All GREEN outputs are calculated automatically. Based on parabolic single-bead model (AE645 course notes).</t>
  </si>
  <si>
    <t>1. PROCESS INPUTS</t>
  </si>
  <si>
    <t>Parameter</t>
  </si>
  <si>
    <t>Value</t>
  </si>
  <si>
    <t>Unit</t>
  </si>
  <si>
    <t>Notes</t>
  </si>
  <si>
    <t>Wire diameter, dwire</t>
  </si>
  <si>
    <t>mm</t>
  </si>
  <si>
    <t>Standard MIG/TIG filler wire diameter</t>
  </si>
  <si>
    <t>Wire feed speed, Vwire</t>
  </si>
  <si>
    <t>mm/min</t>
  </si>
  <si>
    <t>Speed at which wire is fed into the arc</t>
  </si>
  <si>
    <t>Torch travel speed, Vtorch</t>
  </si>
  <si>
    <t>Speed of torch/robot movement along the bead path</t>
  </si>
  <si>
    <t>Measured/target bead height, h</t>
  </si>
  <si>
    <t>From cross-section measurement or design target</t>
  </si>
  <si>
    <t>Arc Voltage, U</t>
  </si>
  <si>
    <t>V</t>
  </si>
  <si>
    <t>From power source display/settings</t>
  </si>
  <si>
    <t>Welding Current, I</t>
  </si>
  <si>
    <t>A</t>
  </si>
  <si>
    <t>Process (deposition) efficiency, eta</t>
  </si>
  <si>
    <t>-</t>
  </si>
  <si>
    <t>Fraction of electrical energy that goes into the workpiece (typ. 0.7-0.85 for GMAW)</t>
  </si>
  <si>
    <t>Wire material density, rho</t>
  </si>
  <si>
    <t>kg/m3</t>
  </si>
  <si>
    <t>e.g. mild steel ~7850, SS ~8000, Al ~2700</t>
  </si>
  <si>
    <t>2. VOLUME FLOW RATE (Q)</t>
  </si>
  <si>
    <t>Formula</t>
  </si>
  <si>
    <t>Role of formula</t>
  </si>
  <si>
    <r>
      <rPr>
        <sz val="10"/>
        <rFont val="Arial"/>
        <family val="2"/>
      </rPr>
      <t>Wire cross-section area, Awire = pi*</t>
    </r>
    <r>
      <rPr>
        <sz val="10"/>
        <rFont val="Arial"/>
        <family val="2"/>
      </rPr>
      <t>dwire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/4</t>
    </r>
  </si>
  <si>
    <t>mm^2</t>
  </si>
  <si>
    <t>Cross-sectional area of the round filler wire</t>
  </si>
  <si>
    <t>Volume flow rate, Q = Awire * Vwire</t>
  </si>
  <si>
    <t>mm^3/min</t>
  </si>
  <si>
    <t>Volume of wire material melted &amp; delivered per minute. Same Q must equal the deposited bead volume rate (mass conservation) - this is what fixes the bead cross-section.</t>
  </si>
  <si>
    <t>3. SINGLE BEAD GEOMETRY (Parabolic Model)</t>
  </si>
  <si>
    <r>
      <rPr>
        <i/>
        <sz val="9"/>
        <color rgb="FF595959"/>
        <rFont val="Arial"/>
        <family val="2"/>
      </rPr>
      <t>Model: bead cross-section assumed parabolic, y = h[1-(2x/w)2]. Area of parabola = (2/3)*h*w. Equating Q = Abead*Vtorch = (2/3)*h*w*Vtorch and Q = (pi*</t>
    </r>
    <r>
      <rPr>
        <i/>
        <sz val="9"/>
        <color rgb="FF595959"/>
        <rFont val="Arial"/>
        <family val="2"/>
      </rPr>
      <t>dwire</t>
    </r>
    <r>
      <rPr>
        <i/>
        <vertAlign val="superscript"/>
        <sz val="9"/>
        <color rgb="FF595959"/>
        <rFont val="Arial"/>
        <family val="2"/>
      </rPr>
      <t>2</t>
    </r>
    <r>
      <rPr>
        <i/>
        <sz val="9"/>
        <color rgb="FF595959"/>
        <rFont val="Arial"/>
        <family val="2"/>
      </rPr>
      <t>/4)*Vwire gives bead width w below.</t>
    </r>
  </si>
  <si>
    <t>Bead height, h (input/measured)</t>
  </si>
  <si>
    <t>Reinforcement height above substrate, taken from your input above</t>
  </si>
  <si>
    <r>
      <rPr>
        <sz val="10"/>
        <rFont val="Arial"/>
        <family val="2"/>
      </rPr>
      <t>Bead width, w = 3*pi*</t>
    </r>
    <r>
      <rPr>
        <sz val="10"/>
        <rFont val="Arial"/>
        <family val="2"/>
      </rPr>
      <t>dwire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*Vwire / (8*h*Vtorch)</t>
    </r>
  </si>
  <si>
    <t>Derived from mass/volume balance between wire melted and bead deposited. Wider bead &lt;-&gt; higher wire feed or lower travel speed.</t>
  </si>
  <si>
    <t>Bead cross-section area, Abead = (2/3)*h*w</t>
  </si>
  <si>
    <t>Area enclosed by the parabolic bead profile - used to check deposition rate and material usage</t>
  </si>
  <si>
    <t>Bead profile equation: y = h[1-(2x/w)2]</t>
  </si>
  <si>
    <t>see note</t>
  </si>
  <si>
    <t>Plug any x (distance from bead centerline, -w/2 to w/2) to get local bead height y - useful for CAD/FEA cross-section reconstruction</t>
  </si>
  <si>
    <t>4. VALIDATION CHECK (Mass/Volume Balance)</t>
  </si>
  <si>
    <t>Deposition volume rate = Abead * Vtorch</t>
  </si>
  <si>
    <t>Should equal Q (Section 2) if the geometry is consistent - this is the validation of the whole calculation</t>
  </si>
  <si>
    <t>Difference (Qwire - Qbead)</t>
  </si>
  <si>
    <t>Should be ~0 (rounding only). Confirms bead width formula correctly balances wire input against deposited volume.</t>
  </si>
  <si>
    <t>Validation status</t>
  </si>
  <si>
    <t>Automatic pass/fail flag for the volume balance above</t>
  </si>
  <si>
    <t>5. HEAT INPUT / ENERGY PARAMETERS</t>
  </si>
  <si>
    <t>Arc Power, P = U * I</t>
  </si>
  <si>
    <t>W</t>
  </si>
  <si>
    <t>Total electrical power delivered by the arc (before efficiency losses)</t>
  </si>
  <si>
    <t>Net Heat Input rate, Pnet = eta*U*I</t>
  </si>
  <si>
    <t>Actual heat delivered into the part after accounting for arc/process efficiency losses (radiation, spatter, etc.)</t>
  </si>
  <si>
    <t>Heat Input per unit length, HI = (eta*U*I)/Vtorch</t>
  </si>
  <si>
    <t>J/mm</t>
  </si>
  <si>
    <t>Same concept as Linear Energy Density (EL) from laser DED, adapted for arc: energy deposited per mm of travel. Controls cooling rate &amp; microstructure (higher HI = coarser grains, more dilution).</t>
  </si>
  <si>
    <t>Energy per unit length (Laser-style form), EL = Pnet/Vtorch</t>
  </si>
  <si>
    <t>Identical formula structure to EL = Laser Power/Scanning Speed from the DED notes - defines energy deposited along the scan path for arc processes too</t>
  </si>
  <si>
    <t>6. MASS DEPOSITION &amp; MATERIAL FEED PARAMETERS</t>
  </si>
  <si>
    <t>Material Feed Rate (mass), mdot = Q * rho</t>
  </si>
  <si>
    <t>kg/min</t>
  </si>
  <si>
    <t>Mass of wire deposited per minute; Q(mm3/min) converted to m3 then multiplied by density (kg/m3)</t>
  </si>
  <si>
    <t>Mass Feed per unit Traverse Length, MFL = mdot/Vtorch</t>
  </si>
  <si>
    <t>kg/mm</t>
  </si>
  <si>
    <t>Directly from DED notes: MFL = Material Feed Rate / Scanning Speed. Indicates how much mass is laid per mm of weld travel - higher MFL means taller/wider beads.</t>
  </si>
  <si>
    <t>Deposition rate (common WAAM metric), DR = mdot*60</t>
  </si>
  <si>
    <t>kg/hr</t>
  </si>
  <si>
    <t>Industry-standard productivity metric for WAAM, useful for comparing your process to published benchmarks (typically 1-5 kg/hr for GMAW-WAAM)</t>
  </si>
  <si>
    <t>7. QUICK SUMMARY</t>
  </si>
  <si>
    <t>Result</t>
  </si>
  <si>
    <t>Bead Width</t>
  </si>
  <si>
    <t>Bead Height</t>
  </si>
  <si>
    <t>Bead Cross-section Area</t>
  </si>
  <si>
    <t>Volume Flow Rate</t>
  </si>
  <si>
    <t>Heat Input per unit length</t>
  </si>
  <si>
    <t>Mass Deposition Rate</t>
  </si>
  <si>
    <t>Reference: AE645 - AM Set 07 course slides (Laser/Arc DED process parameters, WAAM single-bead parabolic geometric model). Efficiency (eta) and density (rho) are typical literature values - update with your own calibration data for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</si>
</sst>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0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i/>
      <vertAlign val="superscript"/>
      <sz val="9"/>
      <color rgb="FF595959"/>
      <name val="Arial"/>
      <family val="2"/>
    </font>
    <font>
      <vertAlign val="superscript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2" fontId="8" fillId="5" borderId="1" xfId="0" applyNumberFormat="1" applyFont="1" applyFill="1" applyBorder="1" applyAlignment="1">
      <alignment horizontal="center" vertical="center" wrapText="1"/>
    </xf>
    <xf numFmtId="165" fontId="8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6" fontId="8" fillId="5" borderId="1" xfId="0" applyNumberFormat="1" applyFont="1" applyFill="1" applyBorder="1" applyAlignment="1">
      <alignment horizontal="center" vertical="center" wrapText="1"/>
    </xf>
    <xf numFmtId="167" fontId="8" fillId="5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0" fillId="0" borderId="2" xfId="0" applyBorder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showGridLines="0" tabSelected="1" zoomScaleNormal="100" workbookViewId="0">
      <pane ySplit="3" topLeftCell="A4" activePane="bottomLeft" state="frozen"/>
      <selection pane="bottomLeft" activeCell="N17" sqref="N17"/>
    </sheetView>
  </sheetViews>
  <sheetFormatPr baseColWidth="10" defaultColWidth="8.6640625" defaultRowHeight="15" x14ac:dyDescent="0.2"/>
  <cols>
    <col min="1" max="1" width="12.83203125" customWidth="1"/>
    <col min="2" max="2" width="34" customWidth="1"/>
    <col min="3" max="3" width="16" customWidth="1"/>
    <col min="4" max="4" width="10" customWidth="1"/>
    <col min="5" max="5" width="42" customWidth="1"/>
    <col min="6" max="6" width="3" customWidth="1"/>
  </cols>
  <sheetData>
    <row r="1" spans="1:5" ht="25.5" customHeight="1" x14ac:dyDescent="0.2">
      <c r="A1" s="17" t="s">
        <v>0</v>
      </c>
      <c r="B1" s="14"/>
      <c r="C1" s="14"/>
      <c r="D1" s="14"/>
      <c r="E1" s="14"/>
    </row>
    <row r="2" spans="1:5" ht="22.25" customHeight="1" x14ac:dyDescent="0.2">
      <c r="A2" s="19" t="s">
        <v>1</v>
      </c>
      <c r="B2" s="14"/>
      <c r="C2" s="14"/>
      <c r="D2" s="14"/>
      <c r="E2" s="14"/>
    </row>
    <row r="4" spans="1:5" ht="15" customHeight="1" x14ac:dyDescent="0.2">
      <c r="A4" s="13" t="s">
        <v>2</v>
      </c>
      <c r="B4" s="14"/>
      <c r="C4" s="14"/>
      <c r="D4" s="14"/>
      <c r="E4" s="14"/>
    </row>
    <row r="5" spans="1:5" ht="57.5" customHeight="1" x14ac:dyDescent="0.2">
      <c r="A5" s="1" t="s">
        <v>3</v>
      </c>
      <c r="B5" s="1"/>
      <c r="C5" s="2" t="s">
        <v>4</v>
      </c>
      <c r="D5" s="2" t="s">
        <v>5</v>
      </c>
      <c r="E5" s="1" t="s">
        <v>6</v>
      </c>
    </row>
    <row r="6" spans="1:5" ht="15" customHeight="1" x14ac:dyDescent="0.2">
      <c r="A6" s="15" t="s">
        <v>7</v>
      </c>
      <c r="B6" s="16"/>
      <c r="C6" s="3">
        <v>1.2</v>
      </c>
      <c r="D6" s="4" t="s">
        <v>8</v>
      </c>
      <c r="E6" s="5" t="s">
        <v>9</v>
      </c>
    </row>
    <row r="7" spans="1:5" ht="15" customHeight="1" x14ac:dyDescent="0.2">
      <c r="A7" s="15" t="s">
        <v>10</v>
      </c>
      <c r="B7" s="16"/>
      <c r="C7" s="3">
        <v>19.899999999999999</v>
      </c>
      <c r="D7" s="4" t="s">
        <v>11</v>
      </c>
      <c r="E7" s="5" t="s">
        <v>12</v>
      </c>
    </row>
    <row r="8" spans="1:5" ht="15" customHeight="1" x14ac:dyDescent="0.2">
      <c r="A8" s="15" t="s">
        <v>13</v>
      </c>
      <c r="B8" s="16"/>
      <c r="C8" s="3">
        <v>300</v>
      </c>
      <c r="D8" s="4" t="s">
        <v>11</v>
      </c>
      <c r="E8" s="5" t="s">
        <v>14</v>
      </c>
    </row>
    <row r="9" spans="1:5" ht="15" customHeight="1" x14ac:dyDescent="0.2">
      <c r="A9" s="15" t="s">
        <v>15</v>
      </c>
      <c r="B9" s="16"/>
      <c r="C9" s="3">
        <v>4.1100000000000003</v>
      </c>
      <c r="D9" s="4" t="s">
        <v>8</v>
      </c>
      <c r="E9" s="5" t="s">
        <v>16</v>
      </c>
    </row>
    <row r="10" spans="1:5" ht="15" customHeight="1" x14ac:dyDescent="0.2">
      <c r="A10" s="15" t="s">
        <v>17</v>
      </c>
      <c r="B10" s="16"/>
      <c r="C10" s="3">
        <v>24.2</v>
      </c>
      <c r="D10" s="4" t="s">
        <v>18</v>
      </c>
      <c r="E10" s="5" t="s">
        <v>19</v>
      </c>
    </row>
    <row r="11" spans="1:5" ht="15" customHeight="1" x14ac:dyDescent="0.2">
      <c r="A11" s="15" t="s">
        <v>20</v>
      </c>
      <c r="B11" s="16"/>
      <c r="C11" s="3">
        <v>200</v>
      </c>
      <c r="D11" s="4" t="s">
        <v>21</v>
      </c>
      <c r="E11" s="5" t="s">
        <v>19</v>
      </c>
    </row>
    <row r="12" spans="1:5" ht="22.25" customHeight="1" x14ac:dyDescent="0.2">
      <c r="A12" s="15" t="s">
        <v>22</v>
      </c>
      <c r="B12" s="16"/>
      <c r="C12" s="3">
        <v>0.8</v>
      </c>
      <c r="D12" s="4" t="s">
        <v>23</v>
      </c>
      <c r="E12" s="5" t="s">
        <v>24</v>
      </c>
    </row>
    <row r="13" spans="1:5" ht="15" customHeight="1" x14ac:dyDescent="0.2">
      <c r="A13" s="15" t="s">
        <v>25</v>
      </c>
      <c r="B13" s="16"/>
      <c r="C13" s="3">
        <v>7850</v>
      </c>
      <c r="D13" s="4" t="s">
        <v>26</v>
      </c>
      <c r="E13" s="5" t="s">
        <v>27</v>
      </c>
    </row>
    <row r="15" spans="1:5" ht="15" customHeight="1" x14ac:dyDescent="0.2">
      <c r="A15" s="13" t="s">
        <v>28</v>
      </c>
      <c r="B15" s="14"/>
      <c r="C15" s="14"/>
      <c r="D15" s="14"/>
      <c r="E15" s="14"/>
    </row>
    <row r="16" spans="1:5" ht="46.25" customHeight="1" x14ac:dyDescent="0.2">
      <c r="A16" s="1" t="s">
        <v>29</v>
      </c>
      <c r="B16" s="1"/>
      <c r="C16" s="2" t="s">
        <v>4</v>
      </c>
      <c r="D16" s="2" t="s">
        <v>5</v>
      </c>
      <c r="E16" s="1" t="s">
        <v>30</v>
      </c>
    </row>
    <row r="17" spans="1:5" ht="15" customHeight="1" x14ac:dyDescent="0.2">
      <c r="A17" s="15" t="s">
        <v>31</v>
      </c>
      <c r="B17" s="16"/>
      <c r="C17" s="6">
        <f>PI()*C6^2/4</f>
        <v>1.1309733552923256</v>
      </c>
      <c r="D17" s="4" t="s">
        <v>32</v>
      </c>
      <c r="E17" s="5" t="s">
        <v>33</v>
      </c>
    </row>
    <row r="18" spans="1:5" ht="43.25" customHeight="1" x14ac:dyDescent="0.2">
      <c r="A18" s="15" t="s">
        <v>34</v>
      </c>
      <c r="B18" s="16"/>
      <c r="C18" s="7">
        <f>C17*C7</f>
        <v>22.506369770317278</v>
      </c>
      <c r="D18" s="4" t="s">
        <v>35</v>
      </c>
      <c r="E18" s="5" t="s">
        <v>36</v>
      </c>
    </row>
    <row r="20" spans="1:5" ht="15" customHeight="1" x14ac:dyDescent="0.2">
      <c r="A20" s="13" t="s">
        <v>37</v>
      </c>
      <c r="B20" s="14"/>
      <c r="C20" s="14"/>
      <c r="D20" s="14"/>
      <c r="E20" s="14"/>
    </row>
    <row r="21" spans="1:5" ht="22.25" customHeight="1" x14ac:dyDescent="0.2">
      <c r="A21" s="18" t="s">
        <v>38</v>
      </c>
      <c r="B21" s="14"/>
      <c r="C21" s="14"/>
      <c r="D21" s="14"/>
      <c r="E21" s="14"/>
    </row>
    <row r="22" spans="1:5" ht="46.25" customHeight="1" x14ac:dyDescent="0.2">
      <c r="A22" s="1" t="s">
        <v>29</v>
      </c>
      <c r="B22" s="1"/>
      <c r="C22" s="2" t="s">
        <v>4</v>
      </c>
      <c r="D22" s="2" t="s">
        <v>5</v>
      </c>
      <c r="E22" s="1" t="s">
        <v>30</v>
      </c>
    </row>
    <row r="23" spans="1:5" ht="22.25" customHeight="1" x14ac:dyDescent="0.2">
      <c r="A23" s="15" t="s">
        <v>39</v>
      </c>
      <c r="B23" s="16"/>
      <c r="C23" s="8">
        <f>C9</f>
        <v>4.1100000000000003</v>
      </c>
      <c r="D23" s="4" t="s">
        <v>8</v>
      </c>
      <c r="E23" s="5" t="s">
        <v>40</v>
      </c>
    </row>
    <row r="24" spans="1:5" ht="32.75" customHeight="1" x14ac:dyDescent="0.2">
      <c r="A24" s="15" t="s">
        <v>41</v>
      </c>
      <c r="B24" s="16"/>
      <c r="C24" s="8">
        <f>(3*PI()*C6^2*C7)/(8*C23*C8)</f>
        <v>2.7380011886030751E-2</v>
      </c>
      <c r="D24" s="4" t="s">
        <v>8</v>
      </c>
      <c r="E24" s="5" t="s">
        <v>42</v>
      </c>
    </row>
    <row r="25" spans="1:5" ht="22.25" customHeight="1" x14ac:dyDescent="0.2">
      <c r="A25" s="15" t="s">
        <v>43</v>
      </c>
      <c r="B25" s="16"/>
      <c r="C25" s="8">
        <f>(2/3)*C23*C24</f>
        <v>7.5021232567724264E-2</v>
      </c>
      <c r="D25" s="4" t="s">
        <v>32</v>
      </c>
      <c r="E25" s="5" t="s">
        <v>44</v>
      </c>
    </row>
    <row r="26" spans="1:5" ht="32.75" customHeight="1" x14ac:dyDescent="0.2">
      <c r="A26" s="15" t="s">
        <v>45</v>
      </c>
      <c r="B26" s="16"/>
      <c r="C26" s="9" t="s">
        <v>46</v>
      </c>
      <c r="D26" s="4" t="s">
        <v>23</v>
      </c>
      <c r="E26" s="5" t="s">
        <v>47</v>
      </c>
    </row>
    <row r="28" spans="1:5" ht="15" customHeight="1" x14ac:dyDescent="0.2">
      <c r="A28" s="13" t="s">
        <v>48</v>
      </c>
      <c r="B28" s="14"/>
      <c r="C28" s="14"/>
      <c r="D28" s="14"/>
      <c r="E28" s="14"/>
    </row>
    <row r="29" spans="1:5" ht="46.25" customHeight="1" x14ac:dyDescent="0.2">
      <c r="A29" s="1" t="s">
        <v>29</v>
      </c>
      <c r="B29" s="1"/>
      <c r="C29" s="2" t="s">
        <v>4</v>
      </c>
      <c r="D29" s="2" t="s">
        <v>5</v>
      </c>
      <c r="E29" s="1" t="s">
        <v>30</v>
      </c>
    </row>
    <row r="30" spans="1:5" ht="22.25" customHeight="1" x14ac:dyDescent="0.2">
      <c r="A30" s="15" t="s">
        <v>49</v>
      </c>
      <c r="B30" s="16"/>
      <c r="C30" s="7">
        <f>C25*C8</f>
        <v>22.506369770317278</v>
      </c>
      <c r="D30" s="4" t="s">
        <v>35</v>
      </c>
      <c r="E30" s="5" t="s">
        <v>50</v>
      </c>
    </row>
    <row r="31" spans="1:5" ht="32.75" customHeight="1" x14ac:dyDescent="0.2">
      <c r="A31" s="15" t="s">
        <v>51</v>
      </c>
      <c r="B31" s="16"/>
      <c r="C31" s="6">
        <f>C18-C30</f>
        <v>0</v>
      </c>
      <c r="D31" s="4" t="s">
        <v>35</v>
      </c>
      <c r="E31" s="5" t="s">
        <v>52</v>
      </c>
    </row>
    <row r="32" spans="1:5" ht="15" customHeight="1" x14ac:dyDescent="0.2">
      <c r="A32" s="15" t="s">
        <v>53</v>
      </c>
      <c r="B32" s="16"/>
      <c r="C32" s="10" t="str">
        <f>IF(ABS(C31)&lt;0.01,"OK - Balanced","CHECK INPUTS")</f>
        <v>OK - Balanced</v>
      </c>
      <c r="D32" s="4" t="s">
        <v>23</v>
      </c>
      <c r="E32" s="5" t="s">
        <v>54</v>
      </c>
    </row>
    <row r="34" spans="1:5" ht="15" customHeight="1" x14ac:dyDescent="0.2">
      <c r="A34" s="13" t="s">
        <v>55</v>
      </c>
      <c r="B34" s="14"/>
      <c r="C34" s="14"/>
      <c r="D34" s="14"/>
      <c r="E34" s="14"/>
    </row>
    <row r="35" spans="1:5" ht="46.25" customHeight="1" x14ac:dyDescent="0.2">
      <c r="A35" s="1" t="s">
        <v>29</v>
      </c>
      <c r="B35" s="1"/>
      <c r="C35" s="2" t="s">
        <v>4</v>
      </c>
      <c r="D35" s="2" t="s">
        <v>5</v>
      </c>
      <c r="E35" s="1" t="s">
        <v>30</v>
      </c>
    </row>
    <row r="36" spans="1:5" ht="22.25" customHeight="1" x14ac:dyDescent="0.2">
      <c r="A36" s="15" t="s">
        <v>56</v>
      </c>
      <c r="B36" s="16"/>
      <c r="C36" s="11">
        <f>C10*C11</f>
        <v>4840</v>
      </c>
      <c r="D36" s="4" t="s">
        <v>57</v>
      </c>
      <c r="E36" s="5" t="s">
        <v>58</v>
      </c>
    </row>
    <row r="37" spans="1:5" ht="22.25" customHeight="1" x14ac:dyDescent="0.2">
      <c r="A37" s="15" t="s">
        <v>59</v>
      </c>
      <c r="B37" s="16"/>
      <c r="C37" s="11">
        <f>C12*C36</f>
        <v>3872</v>
      </c>
      <c r="D37" s="4" t="s">
        <v>57</v>
      </c>
      <c r="E37" s="5" t="s">
        <v>60</v>
      </c>
    </row>
    <row r="38" spans="1:5" ht="43.25" customHeight="1" x14ac:dyDescent="0.2">
      <c r="A38" s="15" t="s">
        <v>61</v>
      </c>
      <c r="B38" s="16"/>
      <c r="C38" s="7">
        <f>(C37)/(C8/60)</f>
        <v>774.4</v>
      </c>
      <c r="D38" s="4" t="s">
        <v>62</v>
      </c>
      <c r="E38" s="5" t="s">
        <v>63</v>
      </c>
    </row>
    <row r="39" spans="1:5" ht="43.25" customHeight="1" x14ac:dyDescent="0.2">
      <c r="A39" s="15" t="s">
        <v>64</v>
      </c>
      <c r="B39" s="16"/>
      <c r="C39" s="7">
        <f>C37/(C8/60)</f>
        <v>774.4</v>
      </c>
      <c r="D39" s="4" t="s">
        <v>62</v>
      </c>
      <c r="E39" s="5" t="s">
        <v>65</v>
      </c>
    </row>
    <row r="41" spans="1:5" ht="15" customHeight="1" x14ac:dyDescent="0.2">
      <c r="A41" s="13" t="s">
        <v>66</v>
      </c>
      <c r="B41" s="14"/>
      <c r="C41" s="14"/>
      <c r="D41" s="14"/>
      <c r="E41" s="14"/>
    </row>
    <row r="42" spans="1:5" ht="46.25" customHeight="1" x14ac:dyDescent="0.2">
      <c r="A42" s="1" t="s">
        <v>29</v>
      </c>
      <c r="B42" s="1"/>
      <c r="C42" s="2" t="s">
        <v>4</v>
      </c>
      <c r="D42" s="2" t="s">
        <v>5</v>
      </c>
      <c r="E42" s="1" t="s">
        <v>30</v>
      </c>
    </row>
    <row r="43" spans="1:5" ht="22.25" customHeight="1" x14ac:dyDescent="0.2">
      <c r="A43" s="15" t="s">
        <v>67</v>
      </c>
      <c r="B43" s="16"/>
      <c r="C43" s="6">
        <f>(C18/1000)*C13/1000000</f>
        <v>1.7667500269699061E-4</v>
      </c>
      <c r="D43" s="4" t="s">
        <v>68</v>
      </c>
      <c r="E43" s="5" t="s">
        <v>69</v>
      </c>
    </row>
    <row r="44" spans="1:5" ht="43.25" customHeight="1" x14ac:dyDescent="0.2">
      <c r="A44" s="15" t="s">
        <v>70</v>
      </c>
      <c r="B44" s="16"/>
      <c r="C44" s="12">
        <f>C43/C8</f>
        <v>5.8891667565663531E-7</v>
      </c>
      <c r="D44" s="4" t="s">
        <v>71</v>
      </c>
      <c r="E44" s="5" t="s">
        <v>72</v>
      </c>
    </row>
    <row r="45" spans="1:5" ht="32.75" customHeight="1" x14ac:dyDescent="0.2">
      <c r="A45" s="15" t="s">
        <v>73</v>
      </c>
      <c r="B45" s="16"/>
      <c r="C45" s="7">
        <f>C43*60</f>
        <v>1.0600500161819437E-2</v>
      </c>
      <c r="D45" s="4" t="s">
        <v>74</v>
      </c>
      <c r="E45" s="5" t="s">
        <v>75</v>
      </c>
    </row>
    <row r="47" spans="1:5" ht="15" customHeight="1" x14ac:dyDescent="0.2">
      <c r="A47" s="13" t="s">
        <v>76</v>
      </c>
      <c r="B47" s="14"/>
      <c r="C47" s="14"/>
      <c r="D47" s="14"/>
      <c r="E47" s="14"/>
    </row>
    <row r="48" spans="1:5" ht="35" customHeight="1" x14ac:dyDescent="0.2">
      <c r="A48" s="1" t="s">
        <v>77</v>
      </c>
      <c r="B48" s="1"/>
      <c r="C48" s="2" t="s">
        <v>4</v>
      </c>
      <c r="D48" s="2" t="s">
        <v>5</v>
      </c>
      <c r="E48" s="1"/>
    </row>
    <row r="49" spans="1:5" ht="15" customHeight="1" x14ac:dyDescent="0.2">
      <c r="A49" s="15" t="s">
        <v>78</v>
      </c>
      <c r="B49" s="16"/>
      <c r="C49" s="6">
        <f>C24</f>
        <v>2.7380011886030751E-2</v>
      </c>
      <c r="D49" s="4" t="s">
        <v>8</v>
      </c>
    </row>
    <row r="50" spans="1:5" ht="15" customHeight="1" x14ac:dyDescent="0.2">
      <c r="A50" s="15" t="s">
        <v>79</v>
      </c>
      <c r="B50" s="16"/>
      <c r="C50" s="6">
        <f>C23</f>
        <v>4.1100000000000003</v>
      </c>
      <c r="D50" s="4" t="s">
        <v>8</v>
      </c>
    </row>
    <row r="51" spans="1:5" ht="15" customHeight="1" x14ac:dyDescent="0.2">
      <c r="A51" s="15" t="s">
        <v>80</v>
      </c>
      <c r="B51" s="16"/>
      <c r="C51" s="6">
        <f>C25</f>
        <v>7.5021232567724264E-2</v>
      </c>
      <c r="D51" s="4" t="s">
        <v>32</v>
      </c>
    </row>
    <row r="52" spans="1:5" ht="15" customHeight="1" x14ac:dyDescent="0.2">
      <c r="A52" s="15" t="s">
        <v>81</v>
      </c>
      <c r="B52" s="16"/>
      <c r="C52" s="6">
        <f>C18</f>
        <v>22.506369770317278</v>
      </c>
      <c r="D52" s="4" t="s">
        <v>35</v>
      </c>
    </row>
    <row r="53" spans="1:5" ht="15" customHeight="1" x14ac:dyDescent="0.2">
      <c r="A53" s="15" t="s">
        <v>82</v>
      </c>
      <c r="B53" s="16"/>
      <c r="C53" s="6">
        <f>C38</f>
        <v>774.4</v>
      </c>
      <c r="D53" s="4" t="s">
        <v>62</v>
      </c>
    </row>
    <row r="54" spans="1:5" ht="15" customHeight="1" x14ac:dyDescent="0.2">
      <c r="A54" s="15" t="s">
        <v>83</v>
      </c>
      <c r="B54" s="16"/>
      <c r="C54" s="6">
        <f>C45</f>
        <v>1.0600500161819437E-2</v>
      </c>
      <c r="D54" s="4" t="s">
        <v>74</v>
      </c>
    </row>
    <row r="56" spans="1:5" ht="30" customHeight="1" x14ac:dyDescent="0.2">
      <c r="A56" s="18" t="s">
        <v>84</v>
      </c>
      <c r="B56" s="14"/>
      <c r="C56" s="14"/>
      <c r="D56" s="14"/>
      <c r="E56" s="14"/>
    </row>
  </sheetData>
  <mergeCells count="41">
    <mergeCell ref="A56:E56"/>
    <mergeCell ref="A12:B12"/>
    <mergeCell ref="A21:E21"/>
    <mergeCell ref="A50:B50"/>
    <mergeCell ref="A26:B26"/>
    <mergeCell ref="A32:B32"/>
    <mergeCell ref="A47:E47"/>
    <mergeCell ref="A23:B23"/>
    <mergeCell ref="A17:B17"/>
    <mergeCell ref="A53:B53"/>
    <mergeCell ref="A38:B38"/>
    <mergeCell ref="A20:E20"/>
    <mergeCell ref="A52:B52"/>
    <mergeCell ref="A43:B43"/>
    <mergeCell ref="A28:E28"/>
    <mergeCell ref="A13:B13"/>
    <mergeCell ref="A54:B54"/>
    <mergeCell ref="A7:B7"/>
    <mergeCell ref="A25:B25"/>
    <mergeCell ref="A41:E41"/>
    <mergeCell ref="A37:B37"/>
    <mergeCell ref="A18:B18"/>
    <mergeCell ref="A8:B8"/>
    <mergeCell ref="A10:B10"/>
    <mergeCell ref="A44:B44"/>
    <mergeCell ref="A9:B9"/>
    <mergeCell ref="A31:B31"/>
    <mergeCell ref="A39:B39"/>
    <mergeCell ref="A49:B49"/>
    <mergeCell ref="A51:B51"/>
    <mergeCell ref="A45:B45"/>
    <mergeCell ref="A36:B36"/>
    <mergeCell ref="A1:E1"/>
    <mergeCell ref="A6:B6"/>
    <mergeCell ref="A2:E2"/>
    <mergeCell ref="A4:E4"/>
    <mergeCell ref="A34:E34"/>
    <mergeCell ref="A24:B24"/>
    <mergeCell ref="A30:B30"/>
    <mergeCell ref="A15:E15"/>
    <mergeCell ref="A11:B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WAAM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SC25M147-PRANAY KUMAR PANDEY 2025-MTECH-MANUTECH</cp:lastModifiedBy>
  <cp:revision>0</cp:revision>
  <dcterms:created xsi:type="dcterms:W3CDTF">2026-09-10T06:47:36Z</dcterms:created>
  <dcterms:modified xsi:type="dcterms:W3CDTF">2026-09-14T06:50:31Z</dcterms:modified>
  <dc:language>en-US</dc:language>
</cp:coreProperties>
</file>